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uffandphelpsgbr-my.sharepoint.com/personal/myles_mellor_kroll_com/Documents/Desktop/"/>
    </mc:Choice>
  </mc:AlternateContent>
  <xr:revisionPtr revIDLastSave="0" documentId="8_{B10AC589-CE49-465D-BD21-F143E88E71DC}" xr6:coauthVersionLast="47" xr6:coauthVersionMax="47" xr10:uidLastSave="{00000000-0000-0000-0000-000000000000}"/>
  <bookViews>
    <workbookView xWindow="-38520" yWindow="-4185" windowWidth="38640" windowHeight="21120" activeTab="2" xr2:uid="{00000000-000D-0000-FFFF-FFFF00000000}"/>
  </bookViews>
  <sheets>
    <sheet name="Setup (per stay)" sheetId="1" r:id="rId1"/>
    <sheet name="Stays" sheetId="2" r:id="rId2"/>
    <sheet name="Calculat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Q4" i="3"/>
  <c r="Q5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P6" i="3"/>
  <c r="O6" i="3"/>
  <c r="N6" i="3"/>
  <c r="M6" i="3"/>
  <c r="L6" i="3"/>
  <c r="K6" i="3"/>
  <c r="J6" i="3"/>
  <c r="I6" i="3"/>
  <c r="H6" i="3"/>
  <c r="G6" i="3"/>
  <c r="F6" i="3"/>
  <c r="E6" i="3"/>
  <c r="D6" i="3"/>
  <c r="B6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Q3" i="3" s="1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Q2" i="3" s="1"/>
  <c r="Q6" i="3" l="1"/>
  <c r="J8" i="3"/>
  <c r="B8" i="3"/>
  <c r="D8" i="3"/>
  <c r="L8" i="3"/>
  <c r="C8" i="3"/>
  <c r="M8" i="3"/>
  <c r="F8" i="3"/>
  <c r="N8" i="3"/>
  <c r="K8" i="3"/>
  <c r="G8" i="3"/>
  <c r="O8" i="3"/>
  <c r="E8" i="3"/>
  <c r="H8" i="3"/>
  <c r="P8" i="3"/>
  <c r="I8" i="3"/>
</calcChain>
</file>

<file path=xl/sharedStrings.xml><?xml version="1.0" encoding="utf-8"?>
<sst xmlns="http://schemas.openxmlformats.org/spreadsheetml/2006/main" count="66" uniqueCount="37">
  <si>
    <t>Property</t>
  </si>
  <si>
    <t>Welcome Pack</t>
  </si>
  <si>
    <t>Single Duvet cover</t>
  </si>
  <si>
    <t>Single Sheet</t>
  </si>
  <si>
    <t>Double Duvet Cover</t>
  </si>
  <si>
    <t>Double Sheet</t>
  </si>
  <si>
    <t>King Duvet Cover</t>
  </si>
  <si>
    <t>King Sheet</t>
  </si>
  <si>
    <t>Super King Duvet Cover</t>
  </si>
  <si>
    <t>Super King Sheet</t>
  </si>
  <si>
    <t>Pillowcases</t>
  </si>
  <si>
    <t>Bath Sheet</t>
  </si>
  <si>
    <t>Hand Towel</t>
  </si>
  <si>
    <t>Bath Mat</t>
  </si>
  <si>
    <t>Tea Towel x 2</t>
  </si>
  <si>
    <t>Oven Gloves</t>
  </si>
  <si>
    <t>Holmlea</t>
  </si>
  <si>
    <t>Jasmine Cottage</t>
  </si>
  <si>
    <t>Riverside House</t>
  </si>
  <si>
    <t>Wynns Cottage</t>
  </si>
  <si>
    <t>Wellcroft Barn</t>
  </si>
  <si>
    <t>Riversley</t>
  </si>
  <si>
    <t>Enter the number of each item needed PER STAY for each property above.</t>
  </si>
  <si>
    <t>Example: If Holmlea needs 10 pillowcases for any stay, put 10 under Pillowcases for Holmlea.</t>
  </si>
  <si>
    <t>Number of stays</t>
  </si>
  <si>
    <t>TOTALS</t>
  </si>
  <si>
    <t>How it works:</t>
  </si>
  <si>
    <t>1) Fill per-stay quantities on 'Setup (per stay)'.</t>
  </si>
  <si>
    <t>2) Enter stays on 'Stays'.</t>
  </si>
  <si>
    <t>3) See auto-calculated required items here, with column totals.</t>
  </si>
  <si>
    <t>sleeps 5</t>
  </si>
  <si>
    <t>sleeps 4</t>
  </si>
  <si>
    <t>sleeps 7 or 9 if sofa bed required. check booking</t>
  </si>
  <si>
    <t>sleeps 4. 1 hand towel for each of the bathrooms</t>
  </si>
  <si>
    <t>SK beds have single duvets</t>
  </si>
  <si>
    <t>Column1</t>
  </si>
  <si>
    <t>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</si>
</sst>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</cellXfs>
  <cellStyles count="1">
    <cellStyle name="Normal" xfId="0" builtinId="0"/>
  </cellStyles>
  <dxfs count="16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tay" displayName="PerStay" ref="A1:Q7">
  <autoFilter ref="A1:Q7" xr:uid="{00000000-0009-0000-0100-000001000000}"/>
  <tableColumns count="17">
    <tableColumn id="1" xr3:uid="{00000000-0010-0000-0000-000001000000}" name="Property"/>
    <tableColumn id="2" xr3:uid="{00000000-0010-0000-0000-000002000000}" name="Welcome Pack" dataDxfId="15"/>
    <tableColumn id="3" xr3:uid="{00000000-0010-0000-0000-000003000000}" name="Single Duvet cover" dataDxfId="14"/>
    <tableColumn id="4" xr3:uid="{00000000-0010-0000-0000-000004000000}" name="Single Sheet" dataDxfId="13"/>
    <tableColumn id="5" xr3:uid="{00000000-0010-0000-0000-000005000000}" name="Double Duvet Cover" dataDxfId="12"/>
    <tableColumn id="6" xr3:uid="{00000000-0010-0000-0000-000006000000}" name="Double Sheet" dataDxfId="11"/>
    <tableColumn id="7" xr3:uid="{00000000-0010-0000-0000-000007000000}" name="King Duvet Cover" dataDxfId="10"/>
    <tableColumn id="8" xr3:uid="{00000000-0010-0000-0000-000008000000}" name="King Sheet" dataDxfId="9"/>
    <tableColumn id="9" xr3:uid="{00000000-0010-0000-0000-000009000000}" name="Super King Duvet Cover" dataDxfId="8"/>
    <tableColumn id="10" xr3:uid="{00000000-0010-0000-0000-00000A000000}" name="Super King Sheet" dataDxfId="7"/>
    <tableColumn id="11" xr3:uid="{00000000-0010-0000-0000-00000B000000}" name="Pillowcases" dataDxfId="6"/>
    <tableColumn id="12" xr3:uid="{00000000-0010-0000-0000-00000C000000}" name="Bath Sheet" dataDxfId="5"/>
    <tableColumn id="13" xr3:uid="{00000000-0010-0000-0000-00000D000000}" name="Hand Towel" dataDxfId="4"/>
    <tableColumn id="14" xr3:uid="{00000000-0010-0000-0000-00000E000000}" name="Bath Mat" dataDxfId="3"/>
    <tableColumn id="15" xr3:uid="{00000000-0010-0000-0000-00000F000000}" name="Tea Towel x 2" dataDxfId="2"/>
    <tableColumn id="16" xr3:uid="{00000000-0010-0000-0000-000010000000}" name="Oven Gloves" dataDxfId="1"/>
    <tableColumn id="17" xr3:uid="{AA7C10C3-CF2C-400A-805B-2BFCCAAF6168}" name="Column1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ysTbl" displayName="StaysTbl" ref="A1:B7">
  <autoFilter ref="A1:B7" xr:uid="{00000000-0009-0000-0100-000002000000}"/>
  <tableColumns count="2">
    <tableColumn id="1" xr3:uid="{00000000-0010-0000-0100-000001000000}" name="Property"/>
    <tableColumn id="2" xr3:uid="{00000000-0010-0000-0100-000002000000}" name="Number of st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workbookViewId="0">
      <pane xSplit="1" ySplit="1" topLeftCell="B2" activePane="bottomRight" state="frozen"/>
      <selection pane="topRight"/>
      <selection pane="bottomLeft"/>
      <selection pane="bottomRight" activeCell="A41" sqref="A41"/>
    </sheetView>
  </sheetViews>
  <sheetFormatPr defaultRowHeight="14.5" x14ac:dyDescent="0.35"/>
  <cols>
    <col min="1" max="1" width="81.26953125" bestFit="1" customWidth="1"/>
    <col min="2" max="2" width="15.81640625" bestFit="1" customWidth="1"/>
    <col min="3" max="3" width="19.1796875" bestFit="1" customWidth="1"/>
    <col min="4" max="4" width="13.7265625" bestFit="1" customWidth="1"/>
    <col min="5" max="5" width="20.453125" bestFit="1" customWidth="1"/>
    <col min="6" max="6" width="14.81640625" bestFit="1" customWidth="1"/>
    <col min="7" max="16" width="18" customWidth="1"/>
    <col min="17" max="17" width="47.6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 x14ac:dyDescent="0.35">
      <c r="A2" t="s">
        <v>16</v>
      </c>
      <c r="B2" s="1">
        <v>0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/>
      <c r="J2" s="2"/>
      <c r="K2" s="2">
        <v>10</v>
      </c>
      <c r="L2" s="2">
        <v>5</v>
      </c>
      <c r="M2" s="2">
        <v>6</v>
      </c>
      <c r="N2" s="2">
        <v>1</v>
      </c>
      <c r="O2" s="2">
        <v>1</v>
      </c>
      <c r="P2" s="3"/>
      <c r="Q2" s="4" t="s">
        <v>30</v>
      </c>
    </row>
    <row r="3" spans="1:17" x14ac:dyDescent="0.35">
      <c r="A3" t="s">
        <v>17</v>
      </c>
      <c r="B3" s="1">
        <v>0</v>
      </c>
      <c r="C3" s="2"/>
      <c r="D3" s="2"/>
      <c r="E3" s="2">
        <v>1</v>
      </c>
      <c r="F3" s="2">
        <v>1</v>
      </c>
      <c r="G3" s="2">
        <v>1</v>
      </c>
      <c r="H3" s="2">
        <v>1</v>
      </c>
      <c r="I3" s="2"/>
      <c r="J3" s="2"/>
      <c r="K3" s="2">
        <v>8</v>
      </c>
      <c r="L3" s="2">
        <v>4</v>
      </c>
      <c r="M3" s="2">
        <v>5</v>
      </c>
      <c r="N3" s="2">
        <v>1</v>
      </c>
      <c r="O3" s="2">
        <v>1</v>
      </c>
      <c r="P3" s="3"/>
      <c r="Q3" s="2" t="s">
        <v>31</v>
      </c>
    </row>
    <row r="4" spans="1:17" x14ac:dyDescent="0.35">
      <c r="A4" t="s">
        <v>18</v>
      </c>
      <c r="B4" s="1">
        <v>0</v>
      </c>
      <c r="C4" s="2">
        <v>3</v>
      </c>
      <c r="D4" s="2">
        <v>3</v>
      </c>
      <c r="E4" s="2">
        <v>1</v>
      </c>
      <c r="F4" s="2">
        <v>1</v>
      </c>
      <c r="G4" s="2">
        <v>1</v>
      </c>
      <c r="H4" s="2">
        <v>1</v>
      </c>
      <c r="I4" s="2"/>
      <c r="J4" s="2"/>
      <c r="K4" s="2">
        <v>14</v>
      </c>
      <c r="L4" s="2">
        <v>7</v>
      </c>
      <c r="M4" s="2">
        <v>9</v>
      </c>
      <c r="N4" s="2">
        <v>2</v>
      </c>
      <c r="O4" s="2">
        <v>1</v>
      </c>
      <c r="P4" s="3"/>
      <c r="Q4" s="2" t="s">
        <v>32</v>
      </c>
    </row>
    <row r="5" spans="1:17" x14ac:dyDescent="0.35">
      <c r="A5" t="s">
        <v>19</v>
      </c>
      <c r="B5" s="1">
        <v>0</v>
      </c>
      <c r="C5" s="2"/>
      <c r="D5" s="2"/>
      <c r="E5" s="2">
        <v>1</v>
      </c>
      <c r="F5" s="2">
        <v>1</v>
      </c>
      <c r="G5" s="2">
        <v>1</v>
      </c>
      <c r="H5" s="2">
        <v>1</v>
      </c>
      <c r="I5" s="2"/>
      <c r="J5" s="2"/>
      <c r="K5" s="2">
        <v>8</v>
      </c>
      <c r="L5" s="2">
        <v>4</v>
      </c>
      <c r="M5" s="2">
        <v>7</v>
      </c>
      <c r="N5" s="2">
        <v>2</v>
      </c>
      <c r="O5" s="2">
        <v>1</v>
      </c>
      <c r="P5" s="3"/>
      <c r="Q5" s="2" t="s">
        <v>33</v>
      </c>
    </row>
    <row r="6" spans="1:17" x14ac:dyDescent="0.35">
      <c r="A6" t="s">
        <v>20</v>
      </c>
      <c r="B6" s="2">
        <v>0</v>
      </c>
      <c r="C6" s="2">
        <v>6</v>
      </c>
      <c r="D6" s="2">
        <v>2</v>
      </c>
      <c r="E6" s="2">
        <v>1</v>
      </c>
      <c r="F6" s="2">
        <v>1</v>
      </c>
      <c r="G6" s="2"/>
      <c r="H6" s="2"/>
      <c r="I6" s="2"/>
      <c r="J6" s="2">
        <v>2</v>
      </c>
      <c r="K6" s="2">
        <v>16</v>
      </c>
      <c r="L6" s="2">
        <v>8</v>
      </c>
      <c r="M6" s="2">
        <v>12</v>
      </c>
      <c r="N6" s="2">
        <v>4</v>
      </c>
      <c r="O6" s="2">
        <v>1</v>
      </c>
      <c r="P6" s="3"/>
      <c r="Q6" s="2" t="s">
        <v>34</v>
      </c>
    </row>
    <row r="7" spans="1:17" x14ac:dyDescent="0.35">
      <c r="A7" t="s">
        <v>21</v>
      </c>
      <c r="B7" s="2">
        <v>0</v>
      </c>
      <c r="C7" s="2">
        <v>2</v>
      </c>
      <c r="D7" s="2">
        <v>2</v>
      </c>
      <c r="E7" s="2">
        <v>1</v>
      </c>
      <c r="F7" s="2">
        <v>1</v>
      </c>
      <c r="G7" s="2">
        <v>1</v>
      </c>
      <c r="H7" s="2">
        <v>1</v>
      </c>
      <c r="I7" s="2"/>
      <c r="J7" s="2"/>
      <c r="K7" s="2">
        <v>12</v>
      </c>
      <c r="L7" s="2">
        <v>6</v>
      </c>
      <c r="M7" s="2">
        <v>8</v>
      </c>
      <c r="N7" s="2">
        <v>2</v>
      </c>
      <c r="O7" s="2">
        <v>1</v>
      </c>
      <c r="P7" s="3"/>
      <c r="Q7" s="5"/>
    </row>
    <row r="9" spans="1:17" x14ac:dyDescent="0.35">
      <c r="A9" t="s">
        <v>22</v>
      </c>
    </row>
    <row r="10" spans="1:17" x14ac:dyDescent="0.35">
      <c r="A10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22" customWidth="1"/>
    <col min="2" max="2" width="18" customWidth="1"/>
  </cols>
  <sheetData>
    <row r="1" spans="1:2" x14ac:dyDescent="0.35">
      <c r="A1" t="s">
        <v>0</v>
      </c>
      <c r="B1" t="s">
        <v>24</v>
      </c>
    </row>
    <row r="2" spans="1:2" x14ac:dyDescent="0.35">
      <c r="A2" t="s">
        <v>16</v>
      </c>
      <c r="B2">
        <v>5</v>
      </c>
    </row>
    <row r="3" spans="1:2" x14ac:dyDescent="0.35">
      <c r="A3" t="s">
        <v>17</v>
      </c>
      <c r="B3">
        <v>5</v>
      </c>
    </row>
    <row r="4" spans="1:2" x14ac:dyDescent="0.35">
      <c r="A4" t="s">
        <v>18</v>
      </c>
      <c r="B4">
        <v>3</v>
      </c>
    </row>
    <row r="5" spans="1:2" x14ac:dyDescent="0.35">
      <c r="A5" t="s">
        <v>19</v>
      </c>
      <c r="B5">
        <v>0</v>
      </c>
    </row>
    <row r="6" spans="1:2" x14ac:dyDescent="0.35">
      <c r="A6" t="s">
        <v>20</v>
      </c>
      <c r="B6">
        <v>2</v>
      </c>
    </row>
    <row r="7" spans="1:2" x14ac:dyDescent="0.35">
      <c r="A7" t="s">
        <v>21</v>
      </c>
      <c r="B7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40" sqref="L40"/>
    </sheetView>
  </sheetViews>
  <sheetFormatPr defaultRowHeight="14.5" x14ac:dyDescent="0.35"/>
  <cols>
    <col min="1" max="1" width="55.6328125" bestFit="1" customWidth="1"/>
    <col min="2" max="15" width="18" customWidth="1"/>
    <col min="16" max="16" width="24.7265625" customWidth="1"/>
    <col min="17" max="17" width="8.7265625" style="6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36</v>
      </c>
    </row>
    <row r="2" spans="1:17" x14ac:dyDescent="0.35">
      <c r="A2" t="s">
        <v>16</v>
      </c>
      <c r="B2" s="1">
        <f>'Setup (per stay)'!B2*Stays!B2</f>
        <v>0</v>
      </c>
      <c r="C2" s="2">
        <f>'Setup (per stay)'!C2*Stays!B2</f>
        <v>5</v>
      </c>
      <c r="D2" s="2">
        <f>'Setup (per stay)'!D2*Stays!B2</f>
        <v>5</v>
      </c>
      <c r="E2" s="2">
        <f>'Setup (per stay)'!E2*Stays!B2</f>
        <v>5</v>
      </c>
      <c r="F2" s="2">
        <f>'Setup (per stay)'!F2*Stays!B2</f>
        <v>5</v>
      </c>
      <c r="G2" s="2">
        <f>'Setup (per stay)'!G2*Stays!B2</f>
        <v>5</v>
      </c>
      <c r="H2" s="2">
        <f>'Setup (per stay)'!H2*Stays!B2</f>
        <v>5</v>
      </c>
      <c r="I2" s="2">
        <f>'Setup (per stay)'!I2*Stays!B2</f>
        <v>0</v>
      </c>
      <c r="J2" s="2">
        <f>'Setup (per stay)'!J2*Stays!B2</f>
        <v>0</v>
      </c>
      <c r="K2" s="2">
        <f>'Setup (per stay)'!K2*Stays!B2</f>
        <v>50</v>
      </c>
      <c r="L2" s="2">
        <f>'Setup (per stay)'!L2*Stays!B2</f>
        <v>25</v>
      </c>
      <c r="M2" s="2">
        <f>'Setup (per stay)'!M2*Stays!B2</f>
        <v>30</v>
      </c>
      <c r="N2" s="2">
        <f>'Setup (per stay)'!N2*Stays!B2</f>
        <v>5</v>
      </c>
      <c r="O2" s="2">
        <f>'Setup (per stay)'!O2*Stays!B2</f>
        <v>5</v>
      </c>
      <c r="P2" s="3">
        <f>'Setup (per stay)'!P2*Stays!B2</f>
        <v>0</v>
      </c>
      <c r="Q2" s="6">
        <f>SUM(B2:P2)</f>
        <v>145</v>
      </c>
    </row>
    <row r="3" spans="1:17" x14ac:dyDescent="0.35">
      <c r="A3" t="s">
        <v>17</v>
      </c>
      <c r="B3" s="1">
        <f>'Setup (per stay)'!B3*Stays!B3</f>
        <v>0</v>
      </c>
      <c r="C3" s="2">
        <f>'Setup (per stay)'!C3*Stays!B3</f>
        <v>0</v>
      </c>
      <c r="D3" s="2">
        <f>'Setup (per stay)'!D3*Stays!B3</f>
        <v>0</v>
      </c>
      <c r="E3" s="2">
        <f>'Setup (per stay)'!E3*Stays!B3</f>
        <v>5</v>
      </c>
      <c r="F3" s="2">
        <f>'Setup (per stay)'!F3*Stays!B3</f>
        <v>5</v>
      </c>
      <c r="G3" s="2">
        <f>'Setup (per stay)'!G3*Stays!B3</f>
        <v>5</v>
      </c>
      <c r="H3" s="2">
        <f>'Setup (per stay)'!H3*Stays!B3</f>
        <v>5</v>
      </c>
      <c r="I3" s="2">
        <f>'Setup (per stay)'!I3*Stays!B3</f>
        <v>0</v>
      </c>
      <c r="J3" s="2">
        <f>'Setup (per stay)'!J3*Stays!B3</f>
        <v>0</v>
      </c>
      <c r="K3" s="2">
        <f>'Setup (per stay)'!K3*Stays!B3</f>
        <v>40</v>
      </c>
      <c r="L3" s="2">
        <f>'Setup (per stay)'!L3*Stays!B3</f>
        <v>20</v>
      </c>
      <c r="M3" s="2">
        <f>'Setup (per stay)'!M3*Stays!B3</f>
        <v>25</v>
      </c>
      <c r="N3" s="2">
        <f>'Setup (per stay)'!N3*Stays!B3</f>
        <v>5</v>
      </c>
      <c r="O3" s="2">
        <f>'Setup (per stay)'!O3*Stays!B3</f>
        <v>5</v>
      </c>
      <c r="P3" s="3">
        <f>'Setup (per stay)'!P3*Stays!B3</f>
        <v>0</v>
      </c>
      <c r="Q3" s="6">
        <f t="shared" ref="Q3:Q7" si="0">SUM(B3:P3)</f>
        <v>115</v>
      </c>
    </row>
    <row r="4" spans="1:17" x14ac:dyDescent="0.35">
      <c r="A4" t="s">
        <v>18</v>
      </c>
      <c r="B4" s="1">
        <f>'Setup (per stay)'!B4*Stays!B4</f>
        <v>0</v>
      </c>
      <c r="C4" s="2">
        <f>'Setup (per stay)'!C4*Stays!B4</f>
        <v>9</v>
      </c>
      <c r="D4" s="2">
        <f>'Setup (per stay)'!D4*Stays!B4</f>
        <v>9</v>
      </c>
      <c r="E4" s="2">
        <f>'Setup (per stay)'!E4*Stays!B4</f>
        <v>3</v>
      </c>
      <c r="F4" s="2">
        <f>'Setup (per stay)'!F4*Stays!B4</f>
        <v>3</v>
      </c>
      <c r="G4" s="2">
        <f>'Setup (per stay)'!G4*Stays!B4</f>
        <v>3</v>
      </c>
      <c r="H4" s="2">
        <f>'Setup (per stay)'!H4*Stays!B4</f>
        <v>3</v>
      </c>
      <c r="I4" s="2">
        <f>'Setup (per stay)'!I4*Stays!B4</f>
        <v>0</v>
      </c>
      <c r="J4" s="2">
        <f>'Setup (per stay)'!J4*Stays!B4</f>
        <v>0</v>
      </c>
      <c r="K4" s="2">
        <f>'Setup (per stay)'!K4*Stays!B4</f>
        <v>42</v>
      </c>
      <c r="L4" s="2">
        <f>'Setup (per stay)'!L4*Stays!B4</f>
        <v>21</v>
      </c>
      <c r="M4" s="2">
        <f>'Setup (per stay)'!M4*Stays!B4</f>
        <v>27</v>
      </c>
      <c r="N4" s="2">
        <f>'Setup (per stay)'!N4*Stays!B4</f>
        <v>6</v>
      </c>
      <c r="O4" s="2">
        <f>'Setup (per stay)'!O4*Stays!B4</f>
        <v>3</v>
      </c>
      <c r="P4" s="3">
        <f>'Setup (per stay)'!P4*Stays!B4</f>
        <v>0</v>
      </c>
      <c r="Q4" s="6">
        <f t="shared" si="0"/>
        <v>129</v>
      </c>
    </row>
    <row r="5" spans="1:17" x14ac:dyDescent="0.35">
      <c r="A5" t="s">
        <v>19</v>
      </c>
      <c r="B5" s="1">
        <f>'Setup (per stay)'!B5*Stays!B5</f>
        <v>0</v>
      </c>
      <c r="C5" s="2">
        <f>'Setup (per stay)'!C5*Stays!B5</f>
        <v>0</v>
      </c>
      <c r="D5" s="2">
        <f>'Setup (per stay)'!D5*Stays!B5</f>
        <v>0</v>
      </c>
      <c r="E5" s="2">
        <f>'Setup (per stay)'!E5*Stays!B5</f>
        <v>0</v>
      </c>
      <c r="F5" s="2">
        <f>'Setup (per stay)'!F5*Stays!B5</f>
        <v>0</v>
      </c>
      <c r="G5" s="2">
        <f>'Setup (per stay)'!G5*Stays!B5</f>
        <v>0</v>
      </c>
      <c r="H5" s="2">
        <f>'Setup (per stay)'!H5*Stays!B5</f>
        <v>0</v>
      </c>
      <c r="I5" s="2">
        <f>'Setup (per stay)'!I5*Stays!B5</f>
        <v>0</v>
      </c>
      <c r="J5" s="2">
        <f>'Setup (per stay)'!J5*Stays!B5</f>
        <v>0</v>
      </c>
      <c r="K5" s="2">
        <f>'Setup (per stay)'!K5*Stays!B5</f>
        <v>0</v>
      </c>
      <c r="L5" s="2">
        <f>'Setup (per stay)'!L5*Stays!B5</f>
        <v>0</v>
      </c>
      <c r="M5" s="2">
        <f>'Setup (per stay)'!M5*Stays!B5</f>
        <v>0</v>
      </c>
      <c r="N5" s="2">
        <f>'Setup (per stay)'!N5*Stays!B5</f>
        <v>0</v>
      </c>
      <c r="O5" s="2">
        <f>'Setup (per stay)'!O5*Stays!B5</f>
        <v>0</v>
      </c>
      <c r="P5" s="3">
        <f>'Setup (per stay)'!P5*Stays!B5</f>
        <v>0</v>
      </c>
      <c r="Q5" s="6">
        <f t="shared" si="0"/>
        <v>0</v>
      </c>
    </row>
    <row r="6" spans="1:17" x14ac:dyDescent="0.35">
      <c r="A6" t="s">
        <v>20</v>
      </c>
      <c r="B6" s="2">
        <f>'Setup (per stay)'!B6*Stays!B6</f>
        <v>0</v>
      </c>
      <c r="C6" s="2">
        <f>'Setup (per stay)'!C6*Stays!B6</f>
        <v>12</v>
      </c>
      <c r="D6" s="2">
        <f>'Setup (per stay)'!D6*Stays!B6</f>
        <v>4</v>
      </c>
      <c r="E6" s="2">
        <f>'Setup (per stay)'!E6*Stays!B6</f>
        <v>2</v>
      </c>
      <c r="F6" s="2">
        <f>'Setup (per stay)'!F6*Stays!B6</f>
        <v>2</v>
      </c>
      <c r="G6" s="2">
        <f>'Setup (per stay)'!G6*Stays!B6</f>
        <v>0</v>
      </c>
      <c r="H6" s="2">
        <f>'Setup (per stay)'!H6*Stays!B6</f>
        <v>0</v>
      </c>
      <c r="I6" s="2">
        <f>'Setup (per stay)'!I6*Stays!B6</f>
        <v>0</v>
      </c>
      <c r="J6" s="2">
        <f>'Setup (per stay)'!J6*Stays!B6</f>
        <v>4</v>
      </c>
      <c r="K6" s="2">
        <f>'Setup (per stay)'!K6*Stays!B6</f>
        <v>32</v>
      </c>
      <c r="L6" s="2">
        <f>'Setup (per stay)'!L6*Stays!B6</f>
        <v>16</v>
      </c>
      <c r="M6" s="2">
        <f>'Setup (per stay)'!M6*Stays!B6</f>
        <v>24</v>
      </c>
      <c r="N6" s="2">
        <f>'Setup (per stay)'!N6*Stays!B6</f>
        <v>8</v>
      </c>
      <c r="O6" s="2">
        <f>'Setup (per stay)'!O6*Stays!B6</f>
        <v>2</v>
      </c>
      <c r="P6" s="3">
        <f>'Setup (per stay)'!P6*Stays!B6</f>
        <v>0</v>
      </c>
      <c r="Q6" s="6">
        <f t="shared" si="0"/>
        <v>106</v>
      </c>
    </row>
    <row r="7" spans="1:17" x14ac:dyDescent="0.35">
      <c r="A7" t="s">
        <v>21</v>
      </c>
      <c r="B7" s="2">
        <f>'Setup (per stay)'!B7*Stays!B7</f>
        <v>0</v>
      </c>
      <c r="C7" s="2">
        <f>'Setup (per stay)'!C7*Stays!B7</f>
        <v>0</v>
      </c>
      <c r="D7" s="2">
        <f>'Setup (per stay)'!D7*Stays!B7</f>
        <v>0</v>
      </c>
      <c r="E7" s="2">
        <f>'Setup (per stay)'!E7*Stays!B7</f>
        <v>0</v>
      </c>
      <c r="F7" s="2">
        <f>'Setup (per stay)'!F7*Stays!B7</f>
        <v>0</v>
      </c>
      <c r="G7" s="2">
        <f>'Setup (per stay)'!G7*Stays!B7</f>
        <v>0</v>
      </c>
      <c r="H7" s="2">
        <f>'Setup (per stay)'!H7*Stays!B7</f>
        <v>0</v>
      </c>
      <c r="I7" s="2">
        <f>'Setup (per stay)'!I7*Stays!B7</f>
        <v>0</v>
      </c>
      <c r="J7" s="2">
        <f>'Setup (per stay)'!J7*Stays!B7</f>
        <v>0</v>
      </c>
      <c r="K7" s="2">
        <f>'Setup (per stay)'!K7*Stays!B7</f>
        <v>0</v>
      </c>
      <c r="L7" s="2">
        <f>'Setup (per stay)'!L7*Stays!B7</f>
        <v>0</v>
      </c>
      <c r="M7" s="2">
        <f>'Setup (per stay)'!M7*Stays!B7</f>
        <v>0</v>
      </c>
      <c r="N7" s="2">
        <f>'Setup (per stay)'!N7*Stays!B7</f>
        <v>0</v>
      </c>
      <c r="O7" s="2">
        <f>'Setup (per stay)'!O7*Stays!B7</f>
        <v>0</v>
      </c>
      <c r="P7" s="3">
        <f>'Setup (per stay)'!P7*Stays!B7</f>
        <v>0</v>
      </c>
      <c r="Q7" s="6">
        <f t="shared" si="0"/>
        <v>0</v>
      </c>
    </row>
    <row r="8" spans="1:17" s="6" customFormat="1" x14ac:dyDescent="0.35">
      <c r="A8" s="6" t="s">
        <v>25</v>
      </c>
      <c r="B8" s="6">
        <f t="shared" ref="B8:P8" si="1">SUM(B2:B7)</f>
        <v>0</v>
      </c>
      <c r="C8" s="6">
        <f t="shared" si="1"/>
        <v>26</v>
      </c>
      <c r="D8" s="6">
        <f t="shared" si="1"/>
        <v>18</v>
      </c>
      <c r="E8" s="6">
        <f t="shared" si="1"/>
        <v>15</v>
      </c>
      <c r="F8" s="6">
        <f t="shared" si="1"/>
        <v>15</v>
      </c>
      <c r="G8" s="6">
        <f t="shared" si="1"/>
        <v>13</v>
      </c>
      <c r="H8" s="6">
        <f t="shared" si="1"/>
        <v>13</v>
      </c>
      <c r="I8" s="6">
        <f t="shared" si="1"/>
        <v>0</v>
      </c>
      <c r="J8" s="6">
        <f t="shared" si="1"/>
        <v>4</v>
      </c>
      <c r="K8" s="6">
        <f t="shared" si="1"/>
        <v>164</v>
      </c>
      <c r="L8" s="6">
        <f t="shared" si="1"/>
        <v>82</v>
      </c>
      <c r="M8" s="6">
        <f t="shared" si="1"/>
        <v>106</v>
      </c>
      <c r="N8" s="6">
        <f t="shared" si="1"/>
        <v>24</v>
      </c>
      <c r="O8" s="6">
        <f t="shared" si="1"/>
        <v>15</v>
      </c>
      <c r="P8" s="6">
        <f t="shared" si="1"/>
        <v>0</v>
      </c>
    </row>
    <row r="10" spans="1:17" x14ac:dyDescent="0.35">
      <c r="A10" t="s">
        <v>26</v>
      </c>
    </row>
    <row r="11" spans="1:17" x14ac:dyDescent="0.35">
      <c r="A11" t="s">
        <v>27</v>
      </c>
    </row>
    <row r="12" spans="1:17" x14ac:dyDescent="0.35">
      <c r="A12" t="s">
        <v>28</v>
      </c>
    </row>
    <row r="13" spans="1:17" x14ac:dyDescent="0.35">
      <c r="A13" t="s">
        <v>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1802be-916f-42df-a204-78a2b3144934}" enabled="0" method="" siteId="{781802be-916f-42df-a204-78a2b3144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 (per stay)</vt:lpstr>
      <vt:lpstr>Stays</vt:lpstr>
      <vt:lpstr>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Mellor, Myles</cp:lastModifiedBy>
  <dcterms:created xsi:type="dcterms:W3CDTF">2025-12-05T13:07:10Z</dcterms:created>
  <dcterms:modified xsi:type="dcterms:W3CDTF">2025-12-05T13:18:20Z</dcterms:modified>
</cp:coreProperties>
</file>